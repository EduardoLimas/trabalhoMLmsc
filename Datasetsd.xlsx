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imad\OneDrive\Documentos\GitHub\trabalhoMLmsc\"/>
    </mc:Choice>
  </mc:AlternateContent>
  <xr:revisionPtr revIDLastSave="0" documentId="13_ncr:1_{E3129827-F354-4FB1-913F-3B526711EA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B15" i="1"/>
  <c r="B14" i="1"/>
  <c r="C10" i="1"/>
  <c r="B10" i="1"/>
  <c r="C9" i="1"/>
  <c r="B9" i="1"/>
  <c r="C5" i="1"/>
  <c r="C4" i="1"/>
  <c r="B5" i="1"/>
  <c r="B4" i="1"/>
</calcChain>
</file>

<file path=xl/sharedStrings.xml><?xml version="1.0" encoding="utf-8"?>
<sst xmlns="http://schemas.openxmlformats.org/spreadsheetml/2006/main" count="34" uniqueCount="8">
  <si>
    <t>Bad</t>
  </si>
  <si>
    <t>Good</t>
  </si>
  <si>
    <t>Train</t>
  </si>
  <si>
    <t>Test</t>
  </si>
  <si>
    <t>Dataset02</t>
  </si>
  <si>
    <t>Total</t>
  </si>
  <si>
    <t>Dataset03</t>
  </si>
  <si>
    <t>Dataset01 - Mendeley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</si>
</sst>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 applyAlignment="1">
      <alignment horizontal="center" vertical="center"/>
    </xf>
    <xf numFmtId="9" fontId="0" fillId="2" borderId="0" xfId="1" applyFont="1" applyFill="1" applyAlignment="1">
      <alignment horizontal="center" vertical="center"/>
    </xf>
    <xf numFmtId="0" fontId="0" fillId="0" borderId="0" xfId="0" applyAlignment="1"/>
    <xf numFmtId="0" fontId="2" fillId="0" borderId="1" xfId="0" applyFont="1" applyBorder="1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Distruibuição</a:t>
            </a:r>
            <a:r>
              <a:rPr lang="pt-BR" baseline="0"/>
              <a:t> de dados Dataset 01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Sheet1!$B$2:$B$3</c:f>
              <c:strCache>
                <c:ptCount val="2"/>
                <c:pt idx="0">
                  <c:v>Dataset01 - Mendeley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Sheet1!$B$4:$B$5</c:f>
              <c:numCache>
                <c:formatCode>General</c:formatCode>
                <c:ptCount val="2"/>
                <c:pt idx="0">
                  <c:v>400</c:v>
                </c:pt>
                <c:pt idx="1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A-4078-97AB-5EB7B1EAA764}"/>
            </c:ext>
          </c:extLst>
        </c:ser>
        <c:ser>
          <c:idx val="1"/>
          <c:order val="1"/>
          <c:tx>
            <c:strRef>
              <c:f>Sheet1!$C$2:$C$3</c:f>
              <c:strCache>
                <c:ptCount val="2"/>
                <c:pt idx="0">
                  <c:v>Dataset01 - Mendeley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Sheet1!$A$4:$A$5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Sheet1!$C$4:$C$5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9A-4078-97AB-5EB7B1EAA7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83820896"/>
        <c:axId val="1083821376"/>
      </c:barChart>
      <c:catAx>
        <c:axId val="10838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1376"/>
        <c:crosses val="autoZero"/>
        <c:auto val="1"/>
        <c:lblAlgn val="ctr"/>
        <c:lblOffset val="100"/>
        <c:noMultiLvlLbl val="0"/>
      </c:catAx>
      <c:valAx>
        <c:axId val="108382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382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Distruibuição de dados Dataset 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Sheet1!$B$7:$B$8</c:f>
              <c:strCache>
                <c:ptCount val="2"/>
                <c:pt idx="0">
                  <c:v>Dataset02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Sheet1!$B$9:$B$10</c:f>
              <c:numCache>
                <c:formatCode>General</c:formatCode>
                <c:ptCount val="2"/>
                <c:pt idx="0">
                  <c:v>144.80000000000001</c:v>
                </c:pt>
                <c:pt idx="1">
                  <c:v>134.4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4-4EF4-8B9B-9D16DD2ADB2A}"/>
            </c:ext>
          </c:extLst>
        </c:ser>
        <c:ser>
          <c:idx val="1"/>
          <c:order val="1"/>
          <c:tx>
            <c:strRef>
              <c:f>Sheet1!$C$7:$C$8</c:f>
              <c:strCache>
                <c:ptCount val="2"/>
                <c:pt idx="0">
                  <c:v>Dataset02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Sheet1!$A$9:$A$10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Sheet1!$C$9:$C$10</c:f>
              <c:numCache>
                <c:formatCode>General</c:formatCode>
                <c:ptCount val="2"/>
                <c:pt idx="0">
                  <c:v>36.200000000000003</c:v>
                </c:pt>
                <c:pt idx="1">
                  <c:v>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4-4EF4-8B9B-9D16DD2ADB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23095471"/>
        <c:axId val="1413165727"/>
      </c:barChart>
      <c:catAx>
        <c:axId val="1823095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5727"/>
        <c:crosses val="autoZero"/>
        <c:auto val="1"/>
        <c:lblAlgn val="ctr"/>
        <c:lblOffset val="100"/>
        <c:noMultiLvlLbl val="0"/>
      </c:catAx>
      <c:valAx>
        <c:axId val="141316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23095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0" i="0" baseline="0">
                <a:effectLst/>
              </a:rPr>
              <a:t>Distruibuição de dados Dataset 03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Sheet1!$B$12:$B$13</c:f>
              <c:strCache>
                <c:ptCount val="2"/>
                <c:pt idx="0">
                  <c:v>Dataset03</c:v>
                </c:pt>
                <c:pt idx="1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Sheet1!$B$14:$B$15</c:f>
              <c:numCache>
                <c:formatCode>General</c:formatCode>
                <c:ptCount val="2"/>
                <c:pt idx="0">
                  <c:v>544.80000000000007</c:v>
                </c:pt>
                <c:pt idx="1">
                  <c:v>534.4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9C-4C3D-A36A-BFB3A90C8F93}"/>
            </c:ext>
          </c:extLst>
        </c:ser>
        <c:ser>
          <c:idx val="1"/>
          <c:order val="1"/>
          <c:tx>
            <c:strRef>
              <c:f>Sheet1!$C$12:$C$13</c:f>
              <c:strCache>
                <c:ptCount val="2"/>
                <c:pt idx="0">
                  <c:v>Dataset03</c:v>
                </c:pt>
                <c:pt idx="1">
                  <c:v>Test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Sheet1!$A$14:$A$15</c:f>
              <c:strCache>
                <c:ptCount val="2"/>
                <c:pt idx="0">
                  <c:v>Bad</c:v>
                </c:pt>
                <c:pt idx="1">
                  <c:v>Good</c:v>
                </c:pt>
              </c:strCache>
            </c:strRef>
          </c:cat>
          <c:val>
            <c:numRef>
              <c:f>Sheet1!$C$14:$C$15</c:f>
              <c:numCache>
                <c:formatCode>General</c:formatCode>
                <c:ptCount val="2"/>
                <c:pt idx="0">
                  <c:v>136.20000000000002</c:v>
                </c:pt>
                <c:pt idx="1">
                  <c:v>133.6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9C-4C3D-A36A-BFB3A90C8F9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55766943"/>
        <c:axId val="1403389983"/>
      </c:barChart>
      <c:catAx>
        <c:axId val="175576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3389983"/>
        <c:crosses val="autoZero"/>
        <c:auto val="1"/>
        <c:lblAlgn val="ctr"/>
        <c:lblOffset val="100"/>
        <c:noMultiLvlLbl val="0"/>
      </c:catAx>
      <c:valAx>
        <c:axId val="14033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576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Comparação entre os</a:t>
            </a:r>
            <a:r>
              <a:rPr lang="pt-BR" baseline="0"/>
              <a:t> datasets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Sheet2!$F$4:$G$11</c:f>
              <c:multiLvlStrCache>
                <c:ptCount val="8"/>
                <c:lvl>
                  <c:pt idx="0">
                    <c:v>Bad</c:v>
                  </c:pt>
                  <c:pt idx="1">
                    <c:v>Good</c:v>
                  </c:pt>
                  <c:pt idx="3">
                    <c:v>Bad</c:v>
                  </c:pt>
                  <c:pt idx="4">
                    <c:v>Good</c:v>
                  </c:pt>
                  <c:pt idx="6">
                    <c:v>Bad</c:v>
                  </c:pt>
                  <c:pt idx="7">
                    <c:v>Good</c:v>
                  </c:pt>
                </c:lvl>
                <c:lvl>
                  <c:pt idx="0">
                    <c:v>Dataset01 - Mendeley</c:v>
                  </c:pt>
                  <c:pt idx="3">
                    <c:v>Dataset02</c:v>
                  </c:pt>
                  <c:pt idx="6">
                    <c:v>Dataset03</c:v>
                  </c:pt>
                </c:lvl>
              </c:multiLvlStrCache>
            </c:multiLvlStrRef>
          </c:cat>
          <c:val>
            <c:numRef>
              <c:f>Sheet2!$H$4:$H$11</c:f>
              <c:numCache>
                <c:formatCode>General</c:formatCode>
                <c:ptCount val="8"/>
                <c:pt idx="0">
                  <c:v>500</c:v>
                </c:pt>
                <c:pt idx="1">
                  <c:v>500</c:v>
                </c:pt>
                <c:pt idx="3">
                  <c:v>181</c:v>
                </c:pt>
                <c:pt idx="4">
                  <c:v>168</c:v>
                </c:pt>
                <c:pt idx="6">
                  <c:v>681</c:v>
                </c:pt>
                <c:pt idx="7">
                  <c:v>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1-458F-9D86-111041C4DF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3164767"/>
        <c:axId val="1245807616"/>
      </c:barChart>
      <c:catAx>
        <c:axId val="14131647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45807616"/>
        <c:crosses val="autoZero"/>
        <c:auto val="1"/>
        <c:lblAlgn val="ctr"/>
        <c:lblOffset val="100"/>
        <c:noMultiLvlLbl val="0"/>
      </c:catAx>
      <c:valAx>
        <c:axId val="124580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164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257175</xdr:colOff>
      <xdr:row>0</xdr:row>
      <xdr:rowOff>180975</xdr:rowOff>
    </xdr:from>
    <xdr:to>
      <xdr:col>13</xdr:col>
      <xdr:colOff>561975</xdr:colOff>
      <xdr:row>15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4B3E5F-28D8-0454-8D94-2A28D48352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158461</xdr:colOff>
      <xdr:row>3</xdr:row>
      <xdr:rowOff>3175</xdr:rowOff>
    </xdr:from>
    <xdr:to>
      <xdr:col>21</xdr:col>
      <xdr:colOff>463261</xdr:colOff>
      <xdr:row>17</xdr:row>
      <xdr:rowOff>168274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717929-37D1-3EDF-9B8C-AB61E01FF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196272</xdr:colOff>
      <xdr:row>20</xdr:row>
      <xdr:rowOff>2310</xdr:rowOff>
    </xdr:from>
    <xdr:to>
      <xdr:col>13</xdr:col>
      <xdr:colOff>484909</xdr:colOff>
      <xdr:row>34</xdr:row>
      <xdr:rowOff>159328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777F2C-D5A8-AF1B-ACAF-A9F326FC24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12</xdr:row>
      <xdr:rowOff>34925</xdr:rowOff>
    </xdr:from>
    <xdr:to>
      <xdr:col>10</xdr:col>
      <xdr:colOff>333375</xdr:colOff>
      <xdr:row>27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B1D78E-DCD7-9A7C-68ED-580636D790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5"/>
  <sheetViews>
    <sheetView tabSelected="1" topLeftCell="F1" zoomScale="85" zoomScaleNormal="85" workbookViewId="0">
      <selection activeCell="J1" sqref="J1"/>
    </sheetView>
  </sheetViews>
  <sheetFormatPr defaultRowHeight="14.5" x14ac:dyDescent="0.35"/>
  <cols>
    <col min="1" max="1" width="19.26953125" bestFit="1" customWidth="1"/>
    <col min="2" max="3" width="6.26953125" bestFit="1" customWidth="1"/>
    <col min="4" max="4" width="8.7265625" style="1"/>
  </cols>
  <sheetData>
    <row r="2" spans="1:4" x14ac:dyDescent="0.35">
      <c r="A2" t="s">
        <v>7</v>
      </c>
    </row>
    <row r="3" spans="1:4" x14ac:dyDescent="0.35">
      <c r="B3" t="s">
        <v>2</v>
      </c>
      <c r="C3" t="s">
        <v>3</v>
      </c>
      <c r="D3" s="1" t="s">
        <v>5</v>
      </c>
    </row>
    <row r="4" spans="1:4" x14ac:dyDescent="0.35">
      <c r="A4" t="s">
        <v>0</v>
      </c>
      <c r="B4">
        <f>$D$4*80%</f>
        <v>400</v>
      </c>
      <c r="C4">
        <f>$D$4*20%</f>
        <v>100</v>
      </c>
      <c r="D4" s="1">
        <v>500</v>
      </c>
    </row>
    <row r="5" spans="1:4" x14ac:dyDescent="0.35">
      <c r="A5" t="s">
        <v>1</v>
      </c>
      <c r="B5">
        <f>$D$5*80%</f>
        <v>400</v>
      </c>
      <c r="C5">
        <f>$D$5*20%</f>
        <v>100</v>
      </c>
      <c r="D5" s="1">
        <v>500</v>
      </c>
    </row>
    <row r="7" spans="1:4" x14ac:dyDescent="0.35">
      <c r="A7" t="s">
        <v>4</v>
      </c>
    </row>
    <row r="8" spans="1:4" x14ac:dyDescent="0.35">
      <c r="B8" t="s">
        <v>2</v>
      </c>
      <c r="C8" t="s">
        <v>3</v>
      </c>
    </row>
    <row r="9" spans="1:4" x14ac:dyDescent="0.35">
      <c r="A9" t="s">
        <v>0</v>
      </c>
      <c r="B9">
        <f>$D$9*80%</f>
        <v>144.80000000000001</v>
      </c>
      <c r="C9">
        <f>$D$9*20%</f>
        <v>36.200000000000003</v>
      </c>
      <c r="D9" s="1">
        <v>181</v>
      </c>
    </row>
    <row r="10" spans="1:4" x14ac:dyDescent="0.35">
      <c r="A10" t="s">
        <v>1</v>
      </c>
      <c r="B10">
        <f>$D$10*80%</f>
        <v>134.4</v>
      </c>
      <c r="C10">
        <f>$D$10*20%</f>
        <v>33.6</v>
      </c>
      <c r="D10" s="1">
        <v>168</v>
      </c>
    </row>
    <row r="12" spans="1:4" x14ac:dyDescent="0.35">
      <c r="A12" t="s">
        <v>6</v>
      </c>
      <c r="D12" s="2"/>
    </row>
    <row r="13" spans="1:4" x14ac:dyDescent="0.35">
      <c r="B13" t="s">
        <v>2</v>
      </c>
      <c r="C13" t="s">
        <v>3</v>
      </c>
    </row>
    <row r="14" spans="1:4" x14ac:dyDescent="0.35">
      <c r="A14" t="s">
        <v>0</v>
      </c>
      <c r="B14">
        <f>D14*80%</f>
        <v>544.80000000000007</v>
      </c>
      <c r="C14">
        <f>D14*20%</f>
        <v>136.20000000000002</v>
      </c>
      <c r="D14" s="1">
        <v>681</v>
      </c>
    </row>
    <row r="15" spans="1:4" x14ac:dyDescent="0.35">
      <c r="A15" t="s">
        <v>1</v>
      </c>
      <c r="B15">
        <f>D15*80%</f>
        <v>534.4</v>
      </c>
      <c r="C15">
        <f>D15*20%</f>
        <v>133.6</v>
      </c>
      <c r="D15" s="1">
        <v>668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548D-3CBC-409F-AB71-C6769111971C}">
  <dimension ref="A3:H12"/>
  <sheetViews>
    <sheetView topLeftCell="A10" workbookViewId="0">
      <selection activeCell="F4" sqref="F4:H11"/>
    </sheetView>
  </sheetViews>
  <sheetFormatPr defaultRowHeight="14.5" x14ac:dyDescent="0.35"/>
  <cols>
    <col min="1" max="1" width="20" customWidth="1"/>
  </cols>
  <sheetData>
    <row r="3" spans="1:8" ht="15" thickBot="1" x14ac:dyDescent="0.4">
      <c r="A3" s="3" t="s">
        <v>7</v>
      </c>
      <c r="B3" s="3"/>
    </row>
    <row r="4" spans="1:8" ht="58.5" thickBot="1" x14ac:dyDescent="0.4">
      <c r="A4" t="s">
        <v>0</v>
      </c>
      <c r="B4" s="1">
        <v>500</v>
      </c>
      <c r="F4" s="4" t="s">
        <v>7</v>
      </c>
      <c r="G4" s="4" t="s">
        <v>0</v>
      </c>
      <c r="H4" s="5">
        <v>500</v>
      </c>
    </row>
    <row r="5" spans="1:8" ht="15" thickBot="1" x14ac:dyDescent="0.4">
      <c r="A5" t="s">
        <v>1</v>
      </c>
      <c r="B5" s="1">
        <v>500</v>
      </c>
      <c r="F5" s="6"/>
      <c r="G5" s="4" t="s">
        <v>1</v>
      </c>
      <c r="H5" s="5">
        <v>500</v>
      </c>
    </row>
    <row r="6" spans="1:8" ht="15" thickBot="1" x14ac:dyDescent="0.4">
      <c r="A6" t="s">
        <v>4</v>
      </c>
      <c r="B6" s="1"/>
      <c r="F6" s="6"/>
      <c r="G6" s="6"/>
      <c r="H6" s="6"/>
    </row>
    <row r="7" spans="1:8" ht="29.5" thickBot="1" x14ac:dyDescent="0.4">
      <c r="A7" t="s">
        <v>0</v>
      </c>
      <c r="B7" s="1">
        <v>181</v>
      </c>
      <c r="F7" s="4" t="s">
        <v>4</v>
      </c>
      <c r="G7" s="4" t="s">
        <v>0</v>
      </c>
      <c r="H7" s="5">
        <v>181</v>
      </c>
    </row>
    <row r="8" spans="1:8" ht="15" thickBot="1" x14ac:dyDescent="0.4">
      <c r="A8" t="s">
        <v>1</v>
      </c>
      <c r="B8" s="1">
        <v>168</v>
      </c>
      <c r="F8" s="6"/>
      <c r="G8" s="4" t="s">
        <v>1</v>
      </c>
      <c r="H8" s="5">
        <v>168</v>
      </c>
    </row>
    <row r="9" spans="1:8" ht="15" thickBot="1" x14ac:dyDescent="0.4">
      <c r="A9" t="s">
        <v>6</v>
      </c>
      <c r="B9" s="2"/>
      <c r="F9" s="6"/>
      <c r="G9" s="6"/>
      <c r="H9" s="6"/>
    </row>
    <row r="10" spans="1:8" ht="29.5" thickBot="1" x14ac:dyDescent="0.4">
      <c r="A10" t="s">
        <v>0</v>
      </c>
      <c r="B10" s="1">
        <v>681</v>
      </c>
      <c r="F10" s="4" t="s">
        <v>6</v>
      </c>
      <c r="G10" s="4" t="s">
        <v>0</v>
      </c>
      <c r="H10" s="5">
        <v>681</v>
      </c>
    </row>
    <row r="11" spans="1:8" ht="15" thickBot="1" x14ac:dyDescent="0.4">
      <c r="A11" t="s">
        <v>1</v>
      </c>
      <c r="B11" s="1">
        <v>668</v>
      </c>
      <c r="F11" s="6"/>
      <c r="G11" s="4" t="s">
        <v>1</v>
      </c>
      <c r="H11" s="5">
        <v>668</v>
      </c>
    </row>
    <row r="12" spans="1:8" x14ac:dyDescent="0.35">
      <c r="B12" s="1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Andrade</dc:creator>
  <cp:lastModifiedBy>Eduardo Andrade</cp:lastModifiedBy>
  <dcterms:created xsi:type="dcterms:W3CDTF">2015-06-05T18:17:20Z</dcterms:created>
  <dcterms:modified xsi:type="dcterms:W3CDTF">2026-04-18T21:53:19Z</dcterms:modified>
</cp:coreProperties>
</file>